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BWF-homework\用例文档\"/>
    </mc:Choice>
  </mc:AlternateContent>
  <xr:revisionPtr revIDLastSave="0" documentId="13_ncr:1_{9638E672-F0D7-46EA-B6D2-A95D6CC04D73}" xr6:coauthVersionLast="47" xr6:coauthVersionMax="47" xr10:uidLastSave="{00000000-0000-0000-0000-000000000000}"/>
  <bookViews>
    <workbookView xWindow="2664" yWindow="1308" windowWidth="25488" windowHeight="14232" activeTab="1" xr2:uid="{00000000-000D-0000-FFFF-FFFF00000000}"/>
  </bookViews>
  <sheets>
    <sheet name="三边形缺陷报告返测" sheetId="1" r:id="rId1"/>
    <sheet name="四边形缺陷报告返测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H9" i="1"/>
  <c r="H8" i="1"/>
  <c r="H7" i="1"/>
  <c r="H6" i="1"/>
  <c r="H5" i="1"/>
  <c r="H4" i="1"/>
  <c r="H3" i="1"/>
  <c r="H2" i="1"/>
  <c r="H10" i="11"/>
  <c r="H9" i="11"/>
  <c r="H8" i="11"/>
  <c r="H7" i="11"/>
  <c r="H6" i="11"/>
  <c r="H5" i="11"/>
  <c r="H4" i="11"/>
  <c r="H3" i="11"/>
  <c r="H2" i="11"/>
</calcChain>
</file>

<file path=xl/sharedStrings.xml><?xml version="1.0" encoding="utf-8"?>
<sst xmlns="http://schemas.openxmlformats.org/spreadsheetml/2006/main" count="202" uniqueCount="110">
  <si>
    <t>缺陷编号</t>
  </si>
  <si>
    <t>对应用例编号</t>
  </si>
  <si>
    <t>缺陷标题</t>
  </si>
  <si>
    <t>详细说明</t>
  </si>
  <si>
    <t>附件</t>
  </si>
  <si>
    <t>测试版本</t>
  </si>
  <si>
    <t>测试人</t>
  </si>
  <si>
    <t>测试日期</t>
  </si>
  <si>
    <t>严重程度</t>
  </si>
  <si>
    <t>优先级</t>
  </si>
  <si>
    <t>缺陷状态</t>
  </si>
  <si>
    <t>DBX-BUG-3BX-001</t>
  </si>
  <si>
    <t>DBX-ST—3BX-JM-001</t>
  </si>
  <si>
    <t>在三边形页面，查看页面上的文字，产生与例如显示不一致的现象</t>
  </si>
  <si>
    <t>预置条件：已打开三边形页面
操作步骤：观察页面上的文字
预期结果：如例图显示一致
实际结果：如例图显示不一致</t>
  </si>
  <si>
    <t>测试2.0版</t>
  </si>
  <si>
    <t>施翊聪</t>
  </si>
  <si>
    <t>轻微</t>
  </si>
  <si>
    <t>紧急</t>
  </si>
  <si>
    <t>关闭</t>
  </si>
  <si>
    <t>DBX-BUG-3BX-002</t>
  </si>
  <si>
    <t>DBX-ST—3BX-JM-002</t>
  </si>
  <si>
    <t>在三边形页面，查看页面上的图片，产生与例如显示不一致的现象</t>
  </si>
  <si>
    <t>预置条件：已打开三边形页面
操作步骤：观察页面上的图片
预期结果：如例图显示一致
实际结果：如例图显示不一致</t>
  </si>
  <si>
    <t>附件02</t>
  </si>
  <si>
    <t>DBX-BUG-3BX-003</t>
  </si>
  <si>
    <t>DBX-ST—3BX-DB-002</t>
  </si>
  <si>
    <t>在三边形页面，
在第1条边输入为空，本应该报错提示，实际提示“普通三角形”</t>
  </si>
  <si>
    <t>预置条件：已打开三边形页面
操作步骤：
1.第一条边输入:  (空) 
2.第二条边输入"4"
3.第三条边输入"5"
4.点击提交按钮
预期结果：提示：“边长不能为空，请输入边长：”
实际结果：提示：“普通三角形”</t>
  </si>
  <si>
    <t>附件03</t>
  </si>
  <si>
    <t>严重</t>
  </si>
  <si>
    <t>DBX-BUG-3BX-004</t>
  </si>
  <si>
    <t>DBX-ST—3BX-DB-003</t>
  </si>
  <si>
    <t>在三边形页面，
在第1条边输入为零，本应该报错提示，实际提示“普通三角形”</t>
  </si>
  <si>
    <r>
      <t xml:space="preserve">预置条件：已打开三边形页面
操作步骤：
1.第一条边输入:  0
2.第二条边输入"4"
3.第三条边输入"5"
4.点击提交按钮
预期结果：提示：“第1条边输入不正确，请输入正整数！”
实际结果：提示：“普通三角形”
</t>
    </r>
    <r>
      <rPr>
        <sz val="11"/>
        <color rgb="FFFF0000"/>
        <rFont val="宋体"/>
        <family val="3"/>
        <charset val="134"/>
        <scheme val="minor"/>
      </rPr>
      <t>备注：未改好 ，现提示：不能构成三角形</t>
    </r>
  </si>
  <si>
    <t>附件04</t>
  </si>
  <si>
    <t>重新打开</t>
  </si>
  <si>
    <t>DBX-BUG-3BX-005</t>
  </si>
  <si>
    <t>DBX-ST—3BX-DB-004</t>
  </si>
  <si>
    <t>在三边形页面，
在第1条边输入为负数，本应该报错提示，实际提示“普通三角形”</t>
  </si>
  <si>
    <t>预置条件：已打开三边形页面
操作步骤：
1.第一条边输入:  -3
2.第二条边输入"4"
3.第三条边输入"5"
4.点击提交按钮
预期结果：提示：“第1条边输入不正确，请输入正整数！”
实际结果：提示：“普通三角形”</t>
  </si>
  <si>
    <t>附件05</t>
  </si>
  <si>
    <t>DBX-BUG-3BX-006</t>
  </si>
  <si>
    <t>DBX-ST—3BX-DB-005</t>
  </si>
  <si>
    <t>在三边形页面，
在第1条边输入为小数，本应该报错提示，实际提示“普通三角形”</t>
  </si>
  <si>
    <r>
      <rPr>
        <sz val="11"/>
        <color theme="1"/>
        <rFont val="宋体"/>
        <family val="3"/>
        <charset val="134"/>
        <scheme val="minor"/>
      </rPr>
      <t xml:space="preserve">预置条件：已打开三边形页面
操作步骤：
1.第一条边输入: 3.1
2.第二条边输入"4"
3.第三条边输入"5"
4.点击提交按钮
预期结果：提示：“第1条边输入不正确，请输入正整数！”
实际结果：提示：“普通三角形”
</t>
    </r>
    <r>
      <rPr>
        <sz val="11"/>
        <color rgb="FFFF0000"/>
        <rFont val="宋体"/>
        <family val="3"/>
        <charset val="134"/>
        <scheme val="minor"/>
      </rPr>
      <t xml:space="preserve">备注：未改好 </t>
    </r>
  </si>
  <si>
    <t>附件06</t>
  </si>
  <si>
    <t>DBX-BUG-3BX-007</t>
  </si>
  <si>
    <t>DBX-ST—3BX-DB-006</t>
  </si>
  <si>
    <t>在三边形页面，
在第1条边输入为非数字，本应该报错提示，实际提示“普通三角形”</t>
  </si>
  <si>
    <t>预置条件：已打开三边形页面
操作步骤：
1.第一条边输入: A
2.第二条边输入"4"
3.第三条边输入"5"
4.点击提交按钮
预期结果：提示：“第1条边输入不正确，请输入正整数！”
实际结果：提示：“普通三角形”</t>
  </si>
  <si>
    <t>附件07</t>
  </si>
  <si>
    <t>DBX-BUG-3BX-008</t>
  </si>
  <si>
    <t>DBX-ST—3BX-ZH-001</t>
  </si>
  <si>
    <t>在三边形页面，输入三边相等，提示：“等边三角形”后又多提示“等腰三角形”</t>
  </si>
  <si>
    <t>预置条件：已打开三边形页面
操作步骤：
1.第一条边输入: 4
2.第二条边输入：4
3.第三条边输入：4
4.点击提交按钮
预期结果：提示：“等边三角形”
实际结果：提示：“等边三角形”
后又多提示“等腰三角形”</t>
  </si>
  <si>
    <t>附件08</t>
  </si>
  <si>
    <t>一般</t>
  </si>
  <si>
    <t>正常</t>
  </si>
  <si>
    <t>DBX-BUG-3BX-009</t>
  </si>
  <si>
    <t>DBX-ST—3BX-ZH-004</t>
  </si>
  <si>
    <t>在三边形页面，输入两边之盒小于第三边，却提示：普通三角形</t>
  </si>
  <si>
    <t>预置条件：已打开三边形页面
操作步骤：
1.第一条边输入: 3
2.第二条边输入：4
3.第三条边输入：1
4.点击提交按钮
预期结果：提示：“不能构成三角形”
实际结果：提示：“普通三角形”</t>
  </si>
  <si>
    <t>附件09</t>
  </si>
  <si>
    <t>DBX-BUG-4BX-001</t>
  </si>
  <si>
    <t>DBX-ST—4BX-JM-001</t>
  </si>
  <si>
    <t>在四边形页面，查看页面上的文字，产生与例图显示不一致的现象</t>
  </si>
  <si>
    <t>预置条件：已打开四边形页面
操作步骤：观察页面上的文字
预期结果：如例图显示一致
实际结果：如例图显示不一致</t>
  </si>
  <si>
    <t>DBX-BUG-4BX-002</t>
  </si>
  <si>
    <t>DBX-ST—4BX-JM-002</t>
  </si>
  <si>
    <t>在四边形页面，查看页面上的图片，产生与例如显示不一致的现象</t>
  </si>
  <si>
    <t>DBX-BUG-4BX-003</t>
  </si>
  <si>
    <t>DBX-ST—4BX-DB-002</t>
  </si>
  <si>
    <t>在四边形页面，
在第1条边输入为空，本应该报错提示，实际提示“普通四角形”</t>
  </si>
  <si>
    <t>附件12</t>
  </si>
  <si>
    <t>DBX-BUG-4BX-004</t>
  </si>
  <si>
    <t>DBX-ST—4BX-DB-003</t>
  </si>
  <si>
    <t>在四边形页面，
在第1条边输入为0，本应该报错提示，实际提示“普通四角形”</t>
  </si>
  <si>
    <t>附件13</t>
  </si>
  <si>
    <t>DBX-BUG-4BX-005</t>
  </si>
  <si>
    <t>DBX-ST—4BX-DB-004</t>
  </si>
  <si>
    <t>在四边形页面，
在第1条边输入为负数，本应该报错提示，实际提示“普通四角形”</t>
  </si>
  <si>
    <t>预置条件：已打开四边形页面
操作步骤：
     1.第一条边输入:-3
     2.第二条边输入:4
     3.第三条边输入:5
     4.第四条边输入:6
     5.点击提交按钮
预期结果：提示："第1条边输入不正确，请输入正整数"
实际结果：提示“普通四边形”</t>
  </si>
  <si>
    <t>附件14</t>
  </si>
  <si>
    <t>DBX-BUG-4BX-006</t>
  </si>
  <si>
    <t>DBX-ST—4BX-DB-005</t>
  </si>
  <si>
    <t>在四边形页面，
在第1条边输入为小数，本应该报错提示，实际提示“普通四角形”</t>
  </si>
  <si>
    <t>附件15</t>
  </si>
  <si>
    <t>DBX-BUG-4BX-007</t>
  </si>
  <si>
    <t>DBX-ST—4BX-DB-006</t>
  </si>
  <si>
    <t>在四边形页面，
在第1条边输入为非数字，本应该报错提示，实际提示“普通四角形”</t>
  </si>
  <si>
    <t>预置条件：已打开四边形页面
操作步骤：
     1.第一条边输入:A
     2.第二条边输入:4
     3.第三条边输入:5
     4.第四条边输入:6
     5.点击提交按钮
预期结果：提示："第2条边输入不正确，请输入正整数"
实际结果：提示“普通四边形”</t>
  </si>
  <si>
    <t>附件16</t>
  </si>
  <si>
    <t>DBX-BUG-4BX-008</t>
  </si>
  <si>
    <t>DBX-ST—4BX-ZH-001</t>
  </si>
  <si>
    <t>在四边形页面，
输入四边相等，提示：“正方形”后又多提示“长方形”</t>
  </si>
  <si>
    <t>预置条件：已打开四边形页面
操作步骤：
     1.第一条边输入:4
     2.第二条边输入:4
     3.第三条边输入:5
     4.第四条边输入:6
     5.点击提交按钮
预期结果：提示："第2条边输入不正确，请输入正整数"
实际结果：提示“普通四边形”</t>
  </si>
  <si>
    <t>附件17</t>
  </si>
  <si>
    <t>DBX-BUG-4BX-009</t>
  </si>
  <si>
    <t>DBX-ST—4BX-ZH-004</t>
  </si>
  <si>
    <t>在四边形页面，
输入第1,2边之和小于第3,4边之和，却提示：“普通四边形”</t>
  </si>
  <si>
    <t>预置条件：已打开四边形页面
操作步骤：
 1.第一条边输入:1
 2.第二条边输入;2
 3.第三条边输入;3
 4.第四条边输入;10
 5.点击提交按钮
预期结果：提示："不能构成四边形"
实际结果：提示“普通四边形”</t>
  </si>
  <si>
    <t>附件18</t>
  </si>
  <si>
    <t>附件01</t>
    <phoneticPr fontId="6" type="noConversion"/>
  </si>
  <si>
    <t>附件11</t>
    <phoneticPr fontId="6" type="noConversion"/>
  </si>
  <si>
    <t>附件19</t>
  </si>
  <si>
    <r>
      <t xml:space="preserve">预置条件：已打开四边形页面
操作步骤：
     1.第一条边输入:3.4
     2.第二条边输入:4
     3.第三条边输入:5
     4.第四条边输入:6
     5.点击提交按钮
预期结果：提示："第1条边输入不正确，请输入正整数"
实际结果：提示“普通四边形”
</t>
    </r>
    <r>
      <rPr>
        <sz val="10"/>
        <color rgb="FFFF0000"/>
        <rFont val="宋体"/>
        <family val="3"/>
        <charset val="134"/>
        <scheme val="minor"/>
      </rPr>
      <t>备注：未改好</t>
    </r>
    <phoneticPr fontId="6" type="noConversion"/>
  </si>
  <si>
    <r>
      <t xml:space="preserve">预置条件：已打开四边形页面
操作步骤：
     1.第一条边输入:0
     2.第二条边输入:4
     3.第三条边输入:5
     4.第四条边输入:6
     5.点击提交按钮
预期结果：提示："第1条边输入不正确，请输入正整数"
实际结果：提示“普通四边形”
</t>
    </r>
    <r>
      <rPr>
        <sz val="10"/>
        <color rgb="FFFF0000"/>
        <rFont val="宋体"/>
        <family val="3"/>
        <charset val="134"/>
        <scheme val="minor"/>
      </rPr>
      <t xml:space="preserve">备注：未改好 </t>
    </r>
    <phoneticPr fontId="6" type="noConversion"/>
  </si>
  <si>
    <t>预置条件：已打开四边形页面
操作步骤：
     1.第一条边输入: (空) 
     2.第二条边输入:4
     3.第三条边输入:5
     4.第四条边输入:6
     5.点击提交按钮
预期结果：提示：“边长不能为空，请输入边长：”
实际结果：提示“普通四边形”</t>
    <phoneticPr fontId="6" type="noConversion"/>
  </si>
  <si>
    <t>预置条件：已打开四边形页面
操作步骤：观察页面上的图片
预期结果：如例图显示一致
实际结果：如例图显示不一致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</si>
</sst>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;@"/>
  </numFmts>
  <fonts count="8" x14ac:knownFonts="1">
    <font>
      <sz val="11"/>
      <color theme="1"/>
      <name val="宋体"/>
      <charset val="134"/>
      <scheme val="minor"/>
    </font>
    <font>
      <sz val="1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78" fontId="2" fillId="0" borderId="0" xfId="0" applyNumberFormat="1" applyFont="1" applyAlignment="1">
      <alignment horizontal="left" vertical="center" wrapText="1"/>
    </xf>
    <xf numFmtId="178" fontId="0" fillId="0" borderId="0" xfId="0" applyNumberForma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opLeftCell="A9" workbookViewId="0">
      <selection activeCell="E2" sqref="E2"/>
    </sheetView>
  </sheetViews>
  <sheetFormatPr defaultColWidth="9" defaultRowHeight="14.4" x14ac:dyDescent="0.25"/>
  <cols>
    <col min="1" max="1" width="17.44140625" customWidth="1"/>
    <col min="2" max="2" width="20.33203125" customWidth="1"/>
    <col min="3" max="3" width="14.21875" customWidth="1"/>
    <col min="4" max="4" width="29.21875" customWidth="1"/>
    <col min="5" max="7" width="10.6640625" customWidth="1"/>
    <col min="8" max="8" width="16.21875" customWidth="1"/>
    <col min="9" max="11" width="10.6640625" customWidth="1"/>
  </cols>
  <sheetData>
    <row r="1" spans="1:12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2"/>
    </row>
    <row r="2" spans="1:12" ht="72" x14ac:dyDescent="0.25">
      <c r="A2" s="2" t="s">
        <v>11</v>
      </c>
      <c r="B2" s="2" t="s">
        <v>12</v>
      </c>
      <c r="C2" s="2" t="s">
        <v>13</v>
      </c>
      <c r="D2" s="2" t="s">
        <v>14</v>
      </c>
      <c r="E2" s="8" t="s">
        <v>103</v>
      </c>
      <c r="F2" s="2" t="s">
        <v>15</v>
      </c>
      <c r="G2" s="2" t="s">
        <v>16</v>
      </c>
      <c r="H2" s="5">
        <f ca="1">NOW()</f>
        <v>46284.680661574072</v>
      </c>
      <c r="I2" s="2" t="s">
        <v>17</v>
      </c>
      <c r="J2" s="2" t="s">
        <v>18</v>
      </c>
      <c r="K2" s="2" t="s">
        <v>19</v>
      </c>
      <c r="L2" s="2"/>
    </row>
    <row r="3" spans="1:12" ht="84" customHeight="1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15</v>
      </c>
      <c r="G3" s="2" t="s">
        <v>16</v>
      </c>
      <c r="H3" s="5">
        <f t="shared" ref="H3:H10" ca="1" si="0">NOW()</f>
        <v>46284.680661574072</v>
      </c>
      <c r="I3" s="2" t="s">
        <v>17</v>
      </c>
      <c r="J3" s="2" t="s">
        <v>18</v>
      </c>
      <c r="K3" s="2" t="s">
        <v>19</v>
      </c>
      <c r="L3" s="2"/>
    </row>
    <row r="4" spans="1:12" ht="144" x14ac:dyDescent="0.25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15</v>
      </c>
      <c r="G4" s="2" t="s">
        <v>16</v>
      </c>
      <c r="H4" s="5">
        <f t="shared" ca="1" si="0"/>
        <v>46284.680661574072</v>
      </c>
      <c r="I4" s="2" t="s">
        <v>30</v>
      </c>
      <c r="J4" s="2" t="s">
        <v>18</v>
      </c>
      <c r="K4" s="2" t="s">
        <v>19</v>
      </c>
      <c r="L4" s="2"/>
    </row>
    <row r="5" spans="1:12" ht="172.8" x14ac:dyDescent="0.2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15</v>
      </c>
      <c r="G5" s="2" t="s">
        <v>16</v>
      </c>
      <c r="H5" s="5">
        <f t="shared" ca="1" si="0"/>
        <v>46284.680661574072</v>
      </c>
      <c r="I5" s="2" t="s">
        <v>30</v>
      </c>
      <c r="J5" s="2" t="s">
        <v>18</v>
      </c>
      <c r="K5" s="6" t="s">
        <v>36</v>
      </c>
      <c r="L5" s="2"/>
    </row>
    <row r="6" spans="1:12" ht="144" x14ac:dyDescent="0.25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15</v>
      </c>
      <c r="G6" s="2" t="s">
        <v>16</v>
      </c>
      <c r="H6" s="5">
        <f t="shared" ca="1" si="0"/>
        <v>46284.680661574072</v>
      </c>
      <c r="I6" s="2" t="s">
        <v>30</v>
      </c>
      <c r="J6" s="2" t="s">
        <v>18</v>
      </c>
      <c r="K6" s="2" t="s">
        <v>19</v>
      </c>
      <c r="L6" s="2"/>
    </row>
    <row r="7" spans="1:12" ht="158.4" x14ac:dyDescent="0.25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15</v>
      </c>
      <c r="G7" s="2" t="s">
        <v>16</v>
      </c>
      <c r="H7" s="5">
        <f t="shared" ca="1" si="0"/>
        <v>46284.680661574072</v>
      </c>
      <c r="I7" s="2" t="s">
        <v>30</v>
      </c>
      <c r="J7" s="2" t="s">
        <v>18</v>
      </c>
      <c r="K7" s="6" t="s">
        <v>36</v>
      </c>
      <c r="L7" s="2"/>
    </row>
    <row r="8" spans="1:12" ht="144" x14ac:dyDescent="0.25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15</v>
      </c>
      <c r="G8" s="2" t="s">
        <v>16</v>
      </c>
      <c r="H8" s="5">
        <f t="shared" ca="1" si="0"/>
        <v>46284.680661574072</v>
      </c>
      <c r="I8" s="2" t="s">
        <v>30</v>
      </c>
      <c r="J8" s="2" t="s">
        <v>18</v>
      </c>
      <c r="K8" s="2" t="s">
        <v>19</v>
      </c>
      <c r="L8" s="2"/>
    </row>
    <row r="9" spans="1:12" ht="158.4" x14ac:dyDescent="0.25">
      <c r="A9" s="2" t="s">
        <v>52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15</v>
      </c>
      <c r="G9" s="2" t="s">
        <v>16</v>
      </c>
      <c r="H9" s="5">
        <f t="shared" ca="1" si="0"/>
        <v>46284.680661574072</v>
      </c>
      <c r="I9" s="2" t="s">
        <v>57</v>
      </c>
      <c r="J9" s="2" t="s">
        <v>58</v>
      </c>
      <c r="K9" s="2" t="s">
        <v>36</v>
      </c>
      <c r="L9" s="2"/>
    </row>
    <row r="10" spans="1:12" ht="144" x14ac:dyDescent="0.25">
      <c r="A10" s="2" t="s">
        <v>59</v>
      </c>
      <c r="B10" s="2" t="s">
        <v>60</v>
      </c>
      <c r="C10" s="2" t="s">
        <v>61</v>
      </c>
      <c r="D10" s="2" t="s">
        <v>62</v>
      </c>
      <c r="E10" s="2" t="s">
        <v>63</v>
      </c>
      <c r="F10" s="2" t="s">
        <v>15</v>
      </c>
      <c r="G10" s="2" t="s">
        <v>16</v>
      </c>
      <c r="H10" s="5">
        <f t="shared" ca="1" si="0"/>
        <v>46284.680661574072</v>
      </c>
      <c r="I10" s="2" t="s">
        <v>30</v>
      </c>
      <c r="J10" s="2" t="s">
        <v>58</v>
      </c>
      <c r="K10" s="2" t="s">
        <v>19</v>
      </c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</sheetData>
  <phoneticPr fontId="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tabSelected="1" zoomScaleNormal="100" workbookViewId="0">
      <selection activeCell="N4" sqref="N4"/>
    </sheetView>
  </sheetViews>
  <sheetFormatPr defaultColWidth="9" defaultRowHeight="14.4" x14ac:dyDescent="0.25"/>
  <cols>
    <col min="1" max="1" width="17.109375" customWidth="1"/>
    <col min="2" max="2" width="20.44140625" customWidth="1"/>
    <col min="3" max="3" width="33" customWidth="1"/>
    <col min="4" max="4" width="39.21875" bestFit="1" customWidth="1"/>
    <col min="5" max="5" width="10.21875" customWidth="1"/>
    <col min="6" max="6" width="20.6640625" customWidth="1"/>
    <col min="7" max="7" width="7.77734375" bestFit="1" customWidth="1"/>
    <col min="8" max="8" width="11" bestFit="1" customWidth="1"/>
    <col min="9" max="9" width="8.88671875" bestFit="1" customWidth="1"/>
    <col min="10" max="10" width="7.21875" bestFit="1" customWidth="1"/>
    <col min="11" max="11" width="14.44140625" customWidth="1"/>
  </cols>
  <sheetData>
    <row r="1" spans="1:12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</row>
    <row r="2" spans="1:12" ht="48" x14ac:dyDescent="0.25">
      <c r="A2" s="3" t="s">
        <v>64</v>
      </c>
      <c r="B2" s="3" t="s">
        <v>65</v>
      </c>
      <c r="C2" s="3" t="s">
        <v>66</v>
      </c>
      <c r="D2" s="3" t="s">
        <v>67</v>
      </c>
      <c r="E2" s="3" t="s">
        <v>104</v>
      </c>
      <c r="F2" s="3" t="s">
        <v>15</v>
      </c>
      <c r="G2" s="3" t="s">
        <v>16</v>
      </c>
      <c r="H2" s="4">
        <f t="shared" ref="H2:H10" ca="1" si="0">NOW()</f>
        <v>46284.680661574072</v>
      </c>
      <c r="I2" s="3" t="s">
        <v>17</v>
      </c>
      <c r="J2" s="3" t="s">
        <v>18</v>
      </c>
      <c r="K2" s="2" t="s">
        <v>19</v>
      </c>
      <c r="L2" s="2"/>
    </row>
    <row r="3" spans="1:12" ht="48" x14ac:dyDescent="0.25">
      <c r="A3" s="3" t="s">
        <v>68</v>
      </c>
      <c r="B3" s="3" t="s">
        <v>69</v>
      </c>
      <c r="C3" s="3" t="s">
        <v>70</v>
      </c>
      <c r="D3" s="3" t="s">
        <v>109</v>
      </c>
      <c r="E3" s="3" t="s">
        <v>74</v>
      </c>
      <c r="F3" s="3" t="s">
        <v>15</v>
      </c>
      <c r="G3" s="2" t="s">
        <v>16</v>
      </c>
      <c r="H3" s="5">
        <f t="shared" ca="1" si="0"/>
        <v>46284.680661574072</v>
      </c>
      <c r="I3" s="2" t="s">
        <v>17</v>
      </c>
      <c r="J3" s="2" t="s">
        <v>18</v>
      </c>
      <c r="K3" s="2" t="s">
        <v>19</v>
      </c>
    </row>
    <row r="4" spans="1:12" ht="120" x14ac:dyDescent="0.25">
      <c r="A4" s="3" t="s">
        <v>71</v>
      </c>
      <c r="B4" s="3" t="s">
        <v>72</v>
      </c>
      <c r="C4" s="3" t="s">
        <v>73</v>
      </c>
      <c r="D4" s="3" t="s">
        <v>108</v>
      </c>
      <c r="E4" s="3" t="s">
        <v>78</v>
      </c>
      <c r="F4" s="3" t="s">
        <v>15</v>
      </c>
      <c r="G4" s="2" t="s">
        <v>16</v>
      </c>
      <c r="H4" s="5">
        <f t="shared" ca="1" si="0"/>
        <v>46284.680661574072</v>
      </c>
      <c r="I4" s="2" t="s">
        <v>30</v>
      </c>
      <c r="J4" s="2" t="s">
        <v>18</v>
      </c>
      <c r="K4" s="2" t="s">
        <v>19</v>
      </c>
    </row>
    <row r="5" spans="1:12" ht="132" x14ac:dyDescent="0.25">
      <c r="A5" s="3" t="s">
        <v>75</v>
      </c>
      <c r="B5" s="3" t="s">
        <v>76</v>
      </c>
      <c r="C5" s="3" t="s">
        <v>77</v>
      </c>
      <c r="D5" s="3" t="s">
        <v>107</v>
      </c>
      <c r="E5" s="3" t="s">
        <v>83</v>
      </c>
      <c r="F5" s="3" t="s">
        <v>15</v>
      </c>
      <c r="G5" s="2" t="s">
        <v>16</v>
      </c>
      <c r="H5" s="5">
        <f t="shared" ca="1" si="0"/>
        <v>46284.680661574072</v>
      </c>
      <c r="I5" s="2" t="s">
        <v>30</v>
      </c>
      <c r="J5" s="2" t="s">
        <v>18</v>
      </c>
      <c r="K5" s="6" t="s">
        <v>36</v>
      </c>
    </row>
    <row r="6" spans="1:12" ht="120" x14ac:dyDescent="0.25">
      <c r="A6" s="3" t="s">
        <v>79</v>
      </c>
      <c r="B6" s="3" t="s">
        <v>80</v>
      </c>
      <c r="C6" s="3" t="s">
        <v>81</v>
      </c>
      <c r="D6" s="3" t="s">
        <v>82</v>
      </c>
      <c r="E6" s="3" t="s">
        <v>87</v>
      </c>
      <c r="F6" s="3" t="s">
        <v>15</v>
      </c>
      <c r="G6" s="2" t="s">
        <v>16</v>
      </c>
      <c r="H6" s="5">
        <f t="shared" ca="1" si="0"/>
        <v>46284.680661574072</v>
      </c>
      <c r="I6" s="2" t="s">
        <v>30</v>
      </c>
      <c r="J6" s="2" t="s">
        <v>18</v>
      </c>
      <c r="K6" s="2" t="s">
        <v>19</v>
      </c>
    </row>
    <row r="7" spans="1:12" ht="132" x14ac:dyDescent="0.25">
      <c r="A7" s="3" t="s">
        <v>84</v>
      </c>
      <c r="B7" s="3" t="s">
        <v>85</v>
      </c>
      <c r="C7" s="3" t="s">
        <v>86</v>
      </c>
      <c r="D7" s="3" t="s">
        <v>106</v>
      </c>
      <c r="E7" s="3" t="s">
        <v>92</v>
      </c>
      <c r="F7" s="3" t="s">
        <v>15</v>
      </c>
      <c r="G7" s="2" t="s">
        <v>16</v>
      </c>
      <c r="H7" s="5">
        <f t="shared" ca="1" si="0"/>
        <v>46284.680661574072</v>
      </c>
      <c r="I7" s="2" t="s">
        <v>30</v>
      </c>
      <c r="J7" s="2" t="s">
        <v>18</v>
      </c>
      <c r="K7" s="6" t="s">
        <v>36</v>
      </c>
    </row>
    <row r="8" spans="1:12" ht="120" x14ac:dyDescent="0.25">
      <c r="A8" s="3" t="s">
        <v>88</v>
      </c>
      <c r="B8" s="3" t="s">
        <v>89</v>
      </c>
      <c r="C8" s="3" t="s">
        <v>90</v>
      </c>
      <c r="D8" s="3" t="s">
        <v>91</v>
      </c>
      <c r="E8" s="3" t="s">
        <v>97</v>
      </c>
      <c r="F8" s="3" t="s">
        <v>15</v>
      </c>
      <c r="G8" s="2" t="s">
        <v>16</v>
      </c>
      <c r="H8" s="5">
        <f t="shared" ca="1" si="0"/>
        <v>46284.680661574072</v>
      </c>
      <c r="I8" s="2" t="s">
        <v>30</v>
      </c>
      <c r="J8" s="2" t="s">
        <v>18</v>
      </c>
      <c r="K8" s="2" t="s">
        <v>19</v>
      </c>
    </row>
    <row r="9" spans="1:12" ht="120" x14ac:dyDescent="0.25">
      <c r="A9" s="3" t="s">
        <v>93</v>
      </c>
      <c r="B9" s="3" t="s">
        <v>94</v>
      </c>
      <c r="C9" s="3" t="s">
        <v>95</v>
      </c>
      <c r="D9" s="3" t="s">
        <v>96</v>
      </c>
      <c r="E9" s="3" t="s">
        <v>102</v>
      </c>
      <c r="F9" s="3" t="s">
        <v>15</v>
      </c>
      <c r="G9" s="2" t="s">
        <v>16</v>
      </c>
      <c r="H9" s="5">
        <f t="shared" ca="1" si="0"/>
        <v>46284.680661574072</v>
      </c>
      <c r="I9" s="2" t="s">
        <v>57</v>
      </c>
      <c r="J9" s="2" t="s">
        <v>58</v>
      </c>
      <c r="K9" s="2" t="s">
        <v>19</v>
      </c>
    </row>
    <row r="10" spans="1:12" ht="108" x14ac:dyDescent="0.25">
      <c r="A10" s="3" t="s">
        <v>98</v>
      </c>
      <c r="B10" s="3" t="s">
        <v>99</v>
      </c>
      <c r="C10" s="3" t="s">
        <v>100</v>
      </c>
      <c r="D10" s="3" t="s">
        <v>101</v>
      </c>
      <c r="E10" s="3" t="s">
        <v>105</v>
      </c>
      <c r="F10" s="3" t="s">
        <v>15</v>
      </c>
      <c r="G10" s="2" t="s">
        <v>16</v>
      </c>
      <c r="H10" s="5">
        <f t="shared" ca="1" si="0"/>
        <v>46284.680661574072</v>
      </c>
      <c r="I10" s="2" t="s">
        <v>30</v>
      </c>
      <c r="J10" s="2" t="s">
        <v>18</v>
      </c>
      <c r="K10" s="2" t="s">
        <v>19</v>
      </c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三边形缺陷报告返测</vt:lpstr>
      <vt:lpstr>四边形缺陷报告返测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Lesch Dor</cp:lastModifiedBy>
  <dcterms:created xsi:type="dcterms:W3CDTF">2023-05-12T11:15:00Z</dcterms:created>
  <dcterms:modified xsi:type="dcterms:W3CDTF">2026-09-19T08:21:13Z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4CBBE6EDF4E5486B9F9CF601D1B4BACF_12</vt:lpwstr>
  </property>
  <property fmtid="{D5CDD505-2E9C-101B-9397-08002B2CF9AE}" pid="4" name="CalculationRule">
    <vt:i4>0</vt:i4>
  </property>
</Properties>
</file>